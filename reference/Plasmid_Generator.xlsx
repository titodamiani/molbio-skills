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DPxyyic+N/B5Lg5mSXFYtOjRCxQi6bAq15I7/dglWhY="/>
    </ext>
  </extLst>
</workbook>
</file>

<file path=xl/sharedStrings.xml><?xml version="1.0" encoding="utf-8"?>
<sst xmlns="http://schemas.openxmlformats.org/spreadsheetml/2006/main" count="192" uniqueCount="65">
  <si>
    <r>
      <rPr>
        <rFont val="Calibri"/>
        <b/>
        <color theme="1"/>
        <sz val="11.0"/>
      </rPr>
      <t xml:space="preserve">For Heterologous protein expression </t>
    </r>
    <r>
      <rPr>
        <rFont val="Calibri"/>
        <b val="0"/>
        <color theme="1"/>
        <sz val="11.0"/>
      </rPr>
      <t>(part type 3)</t>
    </r>
    <r>
      <rPr>
        <rFont val="Calibri"/>
        <b/>
        <color theme="1"/>
        <sz val="11.0"/>
      </rPr>
      <t>:</t>
    </r>
  </si>
  <si>
    <t>Paste sequence here:</t>
  </si>
  <si>
    <t>ATGGCGTCCATAATCCTCCTCTTCTTCTTCATTCCTCTTCTCTACCATTTCCTTGCCAATCGCCGCCGGAGAAACCTCCCACCAGGCCCCTTCGCATGGCCGCTCATCGGCACCCTTCTCCCCAAGCTCAAGAAGCAGCCCCACTTGGAGCTCAGCAAGCTCGCCAACGTCCACGGCCCCCTCATGCTGCTCAAGTTCGGCGTCGAGCCCGTCGTCGTCGCCTCCTCCCACACCGCCGCCATGGAGGTCCTCAAGACCCACGACCGCGAGCCCTCCGGCCGCTTCGCCCCCCATAGCACCCGCATCCCGGGCTACATTGAGCACTCCATGGTGTGGGCAGATTGCACCGACTACTGGAAGCTCATCAGGAAAGTGTGGAGGACGGAGCTGTTCTCCCTCAAGATGCTCGACTTGCAGTCAACCGTGCGGGAGAAGAAGGTGGCCGAGCTCGTCGGATACCTCCGCCGGCGGGAGGGCCAAGAGGTAATGTTCCCCGACGTGATCTTTGGTGCAATCCTGAACGTGTTGGGGGGGCTCATATTCAGCAAAGATGTGTATGATTATGAAGATAAGAGTGACAATAATACGGGGATGAAGGGGATGATTAGGCAGCTAATGATCTTGGCTGCCATCCCTAATCTCGCCGATTTGTATCCGATATTGAGTGGGTCGGATTTCCAAGGGCTGAGGAAGGAGACGGGGGAGTGTGTGAAGAGGATGAATGCTTCTTGGGCTGGCATCATCAAGGAGAGGAGGATCAGCGGTGGTCTGCATGGACACAACAACGATTTCTTGCAGGTTTTGATTGATTCTGGGTTTACCGATCCTCAAATCGACGCCTTGCTTTTGGAAACGTTTGGACCCGGGTCCGATACCAGCAGCTCCACCATAGAATGGGCAATGGCGGAGCTCCTACGCCACCCCGACAAGCTGGCCAAACTCGGGCAAGAGCTTGACGATGTCGTCGGCAAGAACGCCGCCGTCCAAGAATCCCACCTCCCCCACCTTCCCTACCTCCACGCCTGCATGAAGGAGACCCTTCGCCTCCATCCGCCGGTGACCTTCCTCCTCCCCCACCGCGCCACCGAGACGTGCCAGATAATGGGCTACACCGTCCCGAAGGGTTGCCAGTTGATGGTGAACACCTACGCCATTGGTAGGGATCCCAAGACATGGCCCGACCCACTCGAGTTTCGGCCGGAGAGGTTCATAGGGTCGGAGGTGGACTACCAAGGGAACGACTTCGAGTACATACCGTTCGGCGCCGGCAGGAGAATTTGCCCCGGGATGACGCTGGCGACGAGGGTGGTGAGGTTGATAATGGCGTCGTTGGTGCACTCGTTCGAGTGGAGATTGCCGGCGGGGATGCGGCCGGAGGACTTGGACATGCATGATAAGTTTGGGCTGGCTTTGCTCAAGGATGTGCCCTTGGTGGTGGTGCCTCAAGCTAGGAGTACTCTATGA</t>
  </si>
  <si>
    <t>Copy sequence here:</t>
  </si>
  <si>
    <t>For more complex designs:</t>
  </si>
  <si>
    <t xml:space="preserve">Use only if you know what you are doing and have read </t>
  </si>
  <si>
    <t>https://pubs.acs.org/doi/10.1021/sb500366v</t>
  </si>
  <si>
    <t>Especially the SI</t>
  </si>
  <si>
    <t>Select your Left (5') overhang type here:</t>
  </si>
  <si>
    <t>Type 3</t>
  </si>
  <si>
    <t>Select your Right (3')  overhang type here:</t>
  </si>
  <si>
    <t>Usefull informations</t>
  </si>
  <si>
    <t>flanking</t>
  </si>
  <si>
    <t>BsmBI</t>
  </si>
  <si>
    <t>BsaI</t>
  </si>
  <si>
    <t>Adapter BsaI</t>
  </si>
  <si>
    <t>adapter</t>
  </si>
  <si>
    <t>sequence</t>
  </si>
  <si>
    <t>flaking</t>
  </si>
  <si>
    <t>Comment</t>
  </si>
  <si>
    <t>Sequence to order</t>
  </si>
  <si>
    <t>Left</t>
  </si>
  <si>
    <t>Right</t>
  </si>
  <si>
    <t>General sequence</t>
  </si>
  <si>
    <t>actcgacaac</t>
  </si>
  <si>
    <t>CGTCTCa</t>
  </si>
  <si>
    <t>tcGGTCTCa</t>
  </si>
  <si>
    <t>NNNN</t>
  </si>
  <si>
    <t>tGAGACC</t>
  </si>
  <si>
    <t>tGAGACG</t>
  </si>
  <si>
    <t>gttgtggtgt</t>
  </si>
  <si>
    <t>Type 1</t>
  </si>
  <si>
    <t>CCCT</t>
  </si>
  <si>
    <t>AACG</t>
  </si>
  <si>
    <t>Type 2</t>
  </si>
  <si>
    <t>agatc</t>
  </si>
  <si>
    <t>TATG</t>
  </si>
  <si>
    <t>T</t>
  </si>
  <si>
    <t>TAGATCC</t>
  </si>
  <si>
    <t>Type 3a</t>
  </si>
  <si>
    <t>gg</t>
  </si>
  <si>
    <t>TTCT</t>
  </si>
  <si>
    <t>Type 3b</t>
  </si>
  <si>
    <t>Type 4</t>
  </si>
  <si>
    <t>ATCC</t>
  </si>
  <si>
    <t>taactcgag</t>
  </si>
  <si>
    <t>GCTG</t>
  </si>
  <si>
    <t>Type 4a</t>
  </si>
  <si>
    <t>TGGC</t>
  </si>
  <si>
    <t>Type 4b</t>
  </si>
  <si>
    <t>Type 5</t>
  </si>
  <si>
    <t>TACA</t>
  </si>
  <si>
    <t>Type 6 plasmid</t>
  </si>
  <si>
    <t>GAGT</t>
  </si>
  <si>
    <t>Type 7 plasmid origin</t>
  </si>
  <si>
    <t>CCGA</t>
  </si>
  <si>
    <t>Type 8 plasmid bacteria</t>
  </si>
  <si>
    <t>gcggccgc</t>
  </si>
  <si>
    <t>Type 6 integration</t>
  </si>
  <si>
    <t>Type 7 integration</t>
  </si>
  <si>
    <t>Type 8a integration</t>
  </si>
  <si>
    <t>CAAT</t>
  </si>
  <si>
    <t>Type 8b integration</t>
  </si>
  <si>
    <t>Note: Type3 Overhangs are only T on purpose</t>
  </si>
  <si>
    <t>Don't touch them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</si>
</sst>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333333"/>
      <name val="'Courier New'"/>
    </font>
    <font>
      <color theme="1"/>
      <name val="Calibri"/>
      <scheme val="minor"/>
    </font>
    <font>
      <u/>
      <sz val="11.0"/>
      <color theme="10"/>
      <name val="Calibri"/>
    </font>
    <font>
      <sz val="11.0"/>
      <color rgb="FFB51D14"/>
      <name val="Calibri"/>
    </font>
    <font>
      <sz val="11.0"/>
      <color rgb="FF00B25D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readingOrder="0"/>
    </xf>
    <xf borderId="0" fillId="0" fontId="4" numFmtId="0" xfId="0" applyFont="1"/>
    <xf borderId="1" fillId="3" fontId="2" numFmtId="0" xfId="0" applyBorder="1" applyFill="1" applyFont="1"/>
    <xf borderId="0" fillId="0" fontId="5" numFmtId="0" xfId="0" applyFont="1"/>
    <xf borderId="1" fillId="4" fontId="2" numFmtId="0" xfId="0" applyBorder="1" applyFill="1" applyFont="1"/>
    <xf borderId="0" fillId="0" fontId="6" numFmtId="0" xfId="0" applyFont="1"/>
    <xf borderId="0" fillId="0" fontId="7" numFmtId="0" xfId="0" applyFont="1"/>
    <xf borderId="0" fillId="0" fontId="2" numFmtId="0" xfId="0" applyFont="1"/>
    <xf borderId="0" fillId="0" fontId="4" numFmtId="0" xfId="0" applyAlignment="1" applyFont="1">
      <alignment readingOrder="0"/>
    </xf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ubs.acs.org/doi/10.1021/sb500366v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44.43"/>
    <col customWidth="1" min="3" max="3" width="18.43"/>
    <col customWidth="1" min="4" max="4" width="12.57"/>
    <col customWidth="1" min="5" max="5" width="9.29"/>
    <col customWidth="1" min="6" max="6" width="18.0"/>
    <col customWidth="1" min="7" max="7" width="8.71"/>
    <col customWidth="1" min="8" max="8" width="45.29"/>
    <col customWidth="1" min="9" max="9" width="11.71"/>
    <col customWidth="1" min="10" max="13" width="8.71"/>
    <col customWidth="1" min="14" max="14" width="18.71"/>
    <col customWidth="1" min="15" max="26" width="8.71"/>
  </cols>
  <sheetData>
    <row r="1" ht="14.25" customHeight="1">
      <c r="B1" s="1" t="s">
        <v>0</v>
      </c>
    </row>
    <row r="2" ht="14.25" customHeight="1">
      <c r="B2" s="2" t="s">
        <v>1</v>
      </c>
      <c r="C2" s="3" t="s">
        <v>2</v>
      </c>
    </row>
    <row r="3" ht="14.25" customHeight="1">
      <c r="B3" s="4" t="s">
        <v>3</v>
      </c>
      <c r="C3" s="5" t="str">
        <f>CONCAT(C25:M25)</f>
        <v>#N/A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>
      <c r="B9" s="1" t="s">
        <v>4</v>
      </c>
      <c r="C9" s="4" t="s">
        <v>5</v>
      </c>
      <c r="H9" s="6" t="s">
        <v>6</v>
      </c>
      <c r="I9" s="4" t="s">
        <v>7</v>
      </c>
    </row>
    <row r="10" ht="14.25" customHeight="1">
      <c r="B10" s="4" t="s">
        <v>1</v>
      </c>
      <c r="C10" s="7"/>
    </row>
    <row r="11" ht="14.25" customHeight="1">
      <c r="B11" s="4" t="s">
        <v>3</v>
      </c>
      <c r="C11" s="5" t="str">
        <f>CONCAT(D13,C10,D14)</f>
        <v>#N/A</v>
      </c>
    </row>
    <row r="12" ht="14.25" customHeight="1"/>
    <row r="13" ht="14.25" customHeight="1">
      <c r="B13" s="4" t="s">
        <v>8</v>
      </c>
      <c r="C13" s="4" t="s">
        <v>9</v>
      </c>
      <c r="D13" s="4" t="str">
        <f>CHOOSE(MATCH(C13,B23:B38,0),S23,S24,S25,S26,S27,S28,S29,S30,S31,S32,S33,S34,S35,S36,S37,S38)</f>
        <v>#N/A</v>
      </c>
    </row>
    <row r="14" ht="14.25" customHeight="1">
      <c r="B14" s="4" t="s">
        <v>10</v>
      </c>
      <c r="C14" s="4" t="s">
        <v>9</v>
      </c>
      <c r="D14" s="4" t="str">
        <f>CHOOSE(MATCH(C14,B23:B38,0),T23,T24,T25,T26,T27,T28,T29,T30,T31,T32,T33,T34,T35,T36,T37,T38)</f>
        <v>#N/A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>
      <c r="A20" s="4" t="s">
        <v>11</v>
      </c>
    </row>
    <row r="21" ht="14.25" customHeight="1">
      <c r="C21" s="4" t="s">
        <v>12</v>
      </c>
      <c r="D21" s="4" t="s">
        <v>13</v>
      </c>
      <c r="E21" s="4" t="s">
        <v>14</v>
      </c>
      <c r="F21" s="4" t="s">
        <v>15</v>
      </c>
      <c r="G21" s="4" t="s">
        <v>16</v>
      </c>
      <c r="H21" s="7" t="s">
        <v>17</v>
      </c>
      <c r="J21" s="4" t="s">
        <v>15</v>
      </c>
      <c r="K21" s="4" t="s">
        <v>14</v>
      </c>
      <c r="L21" s="4" t="s">
        <v>13</v>
      </c>
      <c r="M21" s="4" t="s">
        <v>18</v>
      </c>
      <c r="N21" s="4" t="s">
        <v>19</v>
      </c>
      <c r="P21" s="7" t="s">
        <v>20</v>
      </c>
      <c r="S21" s="4" t="s">
        <v>21</v>
      </c>
      <c r="T21" s="4" t="s">
        <v>22</v>
      </c>
    </row>
    <row r="22" ht="14.25" customHeight="1">
      <c r="B22" s="4" t="s">
        <v>23</v>
      </c>
      <c r="C22" s="4" t="s">
        <v>24</v>
      </c>
      <c r="D22" s="8" t="s">
        <v>25</v>
      </c>
      <c r="E22" s="9" t="s">
        <v>26</v>
      </c>
      <c r="F22" s="4" t="s">
        <v>27</v>
      </c>
      <c r="H22" s="7"/>
      <c r="J22" s="4" t="s">
        <v>27</v>
      </c>
      <c r="K22" s="9" t="s">
        <v>28</v>
      </c>
      <c r="L22" s="8" t="s">
        <v>29</v>
      </c>
      <c r="M22" s="4" t="s">
        <v>30</v>
      </c>
      <c r="P22" s="7" t="str">
        <f t="shared" ref="P22:P38" si="1">CONCAT(C22:M22)</f>
        <v>#N/A</v>
      </c>
      <c r="S22" s="4" t="str">
        <f t="shared" ref="S22:S33" si="2">CONCAT(C22:F22)</f>
        <v>#N/A</v>
      </c>
      <c r="T22" s="4" t="str">
        <f t="shared" ref="T22:T33" si="3">CONCAT(J22:M22)</f>
        <v>#N/A</v>
      </c>
    </row>
    <row r="23" ht="14.25" customHeight="1">
      <c r="B23" s="4" t="s">
        <v>31</v>
      </c>
      <c r="C23" s="10" t="s">
        <v>24</v>
      </c>
      <c r="D23" s="8" t="s">
        <v>25</v>
      </c>
      <c r="E23" s="9" t="s">
        <v>26</v>
      </c>
      <c r="F23" s="4" t="s">
        <v>32</v>
      </c>
      <c r="H23" s="7"/>
      <c r="J23" s="4" t="s">
        <v>33</v>
      </c>
      <c r="K23" s="9" t="s">
        <v>28</v>
      </c>
      <c r="L23" s="8" t="s">
        <v>29</v>
      </c>
      <c r="M23" s="4" t="s">
        <v>30</v>
      </c>
      <c r="P23" s="7" t="str">
        <f t="shared" si="1"/>
        <v>#N/A</v>
      </c>
      <c r="S23" s="4" t="str">
        <f t="shared" si="2"/>
        <v>#N/A</v>
      </c>
      <c r="T23" s="4" t="str">
        <f t="shared" si="3"/>
        <v>#N/A</v>
      </c>
    </row>
    <row r="24" ht="14.25" customHeight="1">
      <c r="B24" s="4" t="s">
        <v>34</v>
      </c>
      <c r="C24" s="10" t="s">
        <v>24</v>
      </c>
      <c r="D24" s="8" t="s">
        <v>25</v>
      </c>
      <c r="E24" s="9" t="s">
        <v>26</v>
      </c>
      <c r="F24" s="4" t="s">
        <v>33</v>
      </c>
      <c r="H24" s="7"/>
      <c r="I24" s="4" t="s">
        <v>35</v>
      </c>
      <c r="J24" s="4" t="s">
        <v>36</v>
      </c>
      <c r="K24" s="9" t="s">
        <v>28</v>
      </c>
      <c r="L24" s="8" t="s">
        <v>29</v>
      </c>
      <c r="M24" s="4" t="s">
        <v>30</v>
      </c>
      <c r="P24" s="7" t="str">
        <f t="shared" si="1"/>
        <v>#N/A</v>
      </c>
      <c r="S24" s="4" t="str">
        <f t="shared" si="2"/>
        <v>#N/A</v>
      </c>
      <c r="T24" s="4" t="str">
        <f t="shared" si="3"/>
        <v>#N/A</v>
      </c>
    </row>
    <row r="25" ht="14.25" customHeight="1">
      <c r="B25" s="4" t="s">
        <v>9</v>
      </c>
      <c r="C25" s="10" t="s">
        <v>24</v>
      </c>
      <c r="D25" s="8" t="s">
        <v>25</v>
      </c>
      <c r="E25" s="9" t="s">
        <v>26</v>
      </c>
      <c r="F25" s="4" t="s">
        <v>37</v>
      </c>
      <c r="H25" s="7" t="str">
        <f>C2</f>
        <v>ATGGCGTCCATAATCCTCCTCTTCTTCTTCATTCCTCTTCTCTACCATTTCCTTGCCAATCGCCGCCGGAGAAACCTCCCACCAGGCCCCTTCGCATGGCCGCTCATCGGCACCCTTCTCCCCAAGCTCAAGAAGCAGCCCCACTTGGAGCTCAGCAAGCTCGCCAACGTCCACGGCCCCCTCATGCTGCTCAAGTTCGGCGTCGAGCCCGTCGTCGTCGCCTCCTCCCACACCGCCGCCATGGAGGTCCTCAAGACCCACGACCGCGAGCCCTCCGGCCGCTTCGCCCCCCATAGCACCCGCATCCCGGGCTACATTGAGCACTCCATGGTGTGGGCAGATTGCACCGACTACTGGAAGCTCATCAGGAAAGTGTGGAGGACGGAGCTGTTCTCCCTCAAGATGCTCGACTTGCAGTCAACCGTGCGGGAGAAGAAGGTGGCCGAGCTCGTCGGATACCTCCGCCGGCGGGAGGGCCAAGAGGTAATGTTCCCCGACGTGATCTTTGGTGCAATCCTGAACGTGTTGGGGGGGCTCATATTCAGCAAAGATGTGTATGATTATGAAGATAAGAGTGACAATAATACGGGGATGAAGGGGATGATTAGGCAGCTAATGATCTTGGCTGCCATCCCTAATCTCGCCGATTTGTATCCGATATTGAGTGGGTCGGATTTCCAAGGGCTGAGGAAGGAGACGGGGGAGTGTGTGAAGAGGATGAATGCTTCTTGGGCTGGCATCATCAAGGAGAGGAGGATCAGCGGTGGTCTGCATGGACACAACAACGATTTCTTGCAGGTTTTGATTGATTCTGGGTTTACCGATCCTCAAATCGACGCCTTGCTTTTGGAAACGTTTGGACCCGGGTCCGATACCAGCAGCTCCACCATAGAATGGGCAATGGCGGAGCTCCTACGCCACCCCGACAAGCTGGCCAAACTCGGGCAAGAGCTTGACGATGTCGTCGGCAAGAACGCCGCCGTCCAAGAATCCCACCTCCCCCACCTTCCCTACCTCCACGCCTGCATGAAGGAGACCCTTCGCCTCCATCCGCCGGTGACCTTCCTCCTCCCCCACCGCGCCACCGAGACGTGCCAGATAATGGGCTACACCGTCCCGAAGGGTTGCCAGTTGATGGTGAACACCTACGCCATTGGTAGGGATCCCAAGACATGGCCCGACCCACTCGAGTTTCGGCCGGAGAGGTTCATAGGGTCGGAGGTGGACTACCAAGGGAACGACTTCGAGTACATACCGTTCGGCGCCGGCAGGAGAATTTGCCCCGGGATGACGCTGGCGACGAGGGTGGTGAGGTTGATAATGGCGTCGTTGGTGCACTCGTTCGAGTGGAGATTGCCGGCGGGGATGCGGCCGGAGGACTTGGACATGCATGATAAGTTTGGGCTGGCTTTGCTCAAGGATGTGCCCTTGGTGGTGGTGCCTCAAGCTAGGAGTACTCTATGA</v>
      </c>
      <c r="J25" s="11" t="s">
        <v>38</v>
      </c>
      <c r="K25" s="9" t="s">
        <v>28</v>
      </c>
      <c r="L25" s="8" t="s">
        <v>29</v>
      </c>
      <c r="M25" s="4" t="s">
        <v>30</v>
      </c>
      <c r="P25" s="7" t="str">
        <f t="shared" si="1"/>
        <v>#N/A</v>
      </c>
      <c r="S25" s="4" t="str">
        <f t="shared" si="2"/>
        <v>#N/A</v>
      </c>
      <c r="T25" s="4" t="str">
        <f t="shared" si="3"/>
        <v>#N/A</v>
      </c>
    </row>
    <row r="26" ht="14.25" customHeight="1">
      <c r="B26" s="4" t="s">
        <v>39</v>
      </c>
      <c r="C26" s="10" t="s">
        <v>24</v>
      </c>
      <c r="D26" s="8" t="s">
        <v>25</v>
      </c>
      <c r="E26" s="9" t="s">
        <v>26</v>
      </c>
      <c r="F26" s="4" t="s">
        <v>37</v>
      </c>
      <c r="H26" s="7"/>
      <c r="I26" s="4" t="s">
        <v>40</v>
      </c>
      <c r="J26" s="4" t="s">
        <v>41</v>
      </c>
      <c r="K26" s="9" t="s">
        <v>28</v>
      </c>
      <c r="L26" s="8" t="s">
        <v>29</v>
      </c>
      <c r="M26" s="4" t="s">
        <v>30</v>
      </c>
      <c r="P26" s="7" t="str">
        <f t="shared" si="1"/>
        <v>#N/A</v>
      </c>
      <c r="S26" s="4" t="str">
        <f t="shared" si="2"/>
        <v>#N/A</v>
      </c>
      <c r="T26" s="4" t="str">
        <f t="shared" si="3"/>
        <v>#N/A</v>
      </c>
    </row>
    <row r="27" ht="14.25" customHeight="1">
      <c r="B27" s="4" t="s">
        <v>42</v>
      </c>
      <c r="C27" s="10" t="s">
        <v>24</v>
      </c>
      <c r="D27" s="8" t="s">
        <v>25</v>
      </c>
      <c r="E27" s="9" t="s">
        <v>26</v>
      </c>
      <c r="F27" s="4" t="s">
        <v>41</v>
      </c>
      <c r="H27" s="7"/>
      <c r="J27" s="11" t="s">
        <v>38</v>
      </c>
      <c r="K27" s="9" t="s">
        <v>28</v>
      </c>
      <c r="L27" s="8" t="s">
        <v>29</v>
      </c>
      <c r="M27" s="4" t="s">
        <v>30</v>
      </c>
      <c r="P27" s="7" t="str">
        <f t="shared" si="1"/>
        <v>#N/A</v>
      </c>
      <c r="S27" s="4" t="str">
        <f t="shared" si="2"/>
        <v>#N/A</v>
      </c>
      <c r="T27" s="4" t="str">
        <f t="shared" si="3"/>
        <v>#N/A</v>
      </c>
    </row>
    <row r="28" ht="14.25" customHeight="1">
      <c r="B28" s="4" t="s">
        <v>43</v>
      </c>
      <c r="C28" s="10" t="s">
        <v>24</v>
      </c>
      <c r="D28" s="8" t="s">
        <v>25</v>
      </c>
      <c r="E28" s="9" t="s">
        <v>26</v>
      </c>
      <c r="F28" s="4" t="s">
        <v>44</v>
      </c>
      <c r="G28" s="4" t="s">
        <v>45</v>
      </c>
      <c r="H28" s="7"/>
      <c r="J28" s="4" t="s">
        <v>46</v>
      </c>
      <c r="K28" s="9" t="s">
        <v>28</v>
      </c>
      <c r="L28" s="8" t="s">
        <v>29</v>
      </c>
      <c r="M28" s="4" t="s">
        <v>30</v>
      </c>
      <c r="P28" s="7" t="str">
        <f t="shared" si="1"/>
        <v>#N/A</v>
      </c>
      <c r="S28" s="4" t="str">
        <f t="shared" si="2"/>
        <v>#N/A</v>
      </c>
      <c r="T28" s="4" t="str">
        <f t="shared" si="3"/>
        <v>#N/A</v>
      </c>
    </row>
    <row r="29" ht="14.25" customHeight="1">
      <c r="B29" s="4" t="s">
        <v>47</v>
      </c>
      <c r="C29" s="10" t="s">
        <v>24</v>
      </c>
      <c r="D29" s="8" t="s">
        <v>25</v>
      </c>
      <c r="E29" s="9" t="s">
        <v>26</v>
      </c>
      <c r="F29" s="4" t="s">
        <v>44</v>
      </c>
      <c r="H29" s="7"/>
      <c r="I29" s="4" t="s">
        <v>45</v>
      </c>
      <c r="J29" s="4" t="s">
        <v>48</v>
      </c>
      <c r="K29" s="9" t="s">
        <v>28</v>
      </c>
      <c r="L29" s="8" t="s">
        <v>29</v>
      </c>
      <c r="M29" s="4" t="s">
        <v>30</v>
      </c>
      <c r="P29" s="7" t="str">
        <f t="shared" si="1"/>
        <v>#N/A</v>
      </c>
      <c r="S29" s="4" t="str">
        <f t="shared" si="2"/>
        <v>#N/A</v>
      </c>
      <c r="T29" s="4" t="str">
        <f t="shared" si="3"/>
        <v>#N/A</v>
      </c>
    </row>
    <row r="30" ht="14.25" customHeight="1">
      <c r="B30" s="4" t="s">
        <v>49</v>
      </c>
      <c r="C30" s="10" t="s">
        <v>24</v>
      </c>
      <c r="D30" s="8" t="s">
        <v>25</v>
      </c>
      <c r="E30" s="9" t="s">
        <v>26</v>
      </c>
      <c r="F30" s="4" t="s">
        <v>48</v>
      </c>
      <c r="H30" s="7"/>
      <c r="J30" s="4" t="s">
        <v>46</v>
      </c>
      <c r="K30" s="9" t="s">
        <v>28</v>
      </c>
      <c r="L30" s="8" t="s">
        <v>29</v>
      </c>
      <c r="M30" s="4" t="s">
        <v>30</v>
      </c>
      <c r="P30" s="7" t="str">
        <f t="shared" si="1"/>
        <v>#N/A</v>
      </c>
      <c r="S30" s="4" t="str">
        <f t="shared" si="2"/>
        <v>#N/A</v>
      </c>
      <c r="T30" s="4" t="str">
        <f t="shared" si="3"/>
        <v>#N/A</v>
      </c>
    </row>
    <row r="31" ht="14.25" customHeight="1">
      <c r="B31" s="4" t="s">
        <v>50</v>
      </c>
      <c r="C31" s="10" t="s">
        <v>24</v>
      </c>
      <c r="D31" s="8" t="s">
        <v>25</v>
      </c>
      <c r="E31" s="9" t="s">
        <v>26</v>
      </c>
      <c r="F31" s="4" t="s">
        <v>46</v>
      </c>
      <c r="H31" s="7"/>
      <c r="J31" s="4" t="s">
        <v>51</v>
      </c>
      <c r="K31" s="9" t="s">
        <v>28</v>
      </c>
      <c r="L31" s="8" t="s">
        <v>29</v>
      </c>
      <c r="M31" s="4" t="s">
        <v>30</v>
      </c>
      <c r="P31" s="7" t="str">
        <f t="shared" si="1"/>
        <v>#N/A</v>
      </c>
      <c r="S31" s="4" t="str">
        <f t="shared" si="2"/>
        <v>#N/A</v>
      </c>
      <c r="T31" s="4" t="str">
        <f t="shared" si="3"/>
        <v>#N/A</v>
      </c>
    </row>
    <row r="32" ht="14.25" customHeight="1">
      <c r="B32" s="4" t="s">
        <v>52</v>
      </c>
      <c r="C32" s="10" t="s">
        <v>24</v>
      </c>
      <c r="D32" s="8" t="s">
        <v>25</v>
      </c>
      <c r="E32" s="9" t="s">
        <v>26</v>
      </c>
      <c r="F32" s="4" t="s">
        <v>51</v>
      </c>
      <c r="H32" s="12"/>
      <c r="J32" s="4" t="s">
        <v>53</v>
      </c>
      <c r="K32" s="9" t="s">
        <v>28</v>
      </c>
      <c r="L32" s="8" t="s">
        <v>29</v>
      </c>
      <c r="M32" s="4" t="s">
        <v>30</v>
      </c>
      <c r="P32" s="7" t="str">
        <f t="shared" si="1"/>
        <v>#N/A</v>
      </c>
      <c r="S32" s="4" t="str">
        <f t="shared" si="2"/>
        <v>#N/A</v>
      </c>
      <c r="T32" s="4" t="str">
        <f t="shared" si="3"/>
        <v>#N/A</v>
      </c>
    </row>
    <row r="33" ht="14.25" customHeight="1">
      <c r="B33" s="4" t="s">
        <v>54</v>
      </c>
      <c r="C33" s="10" t="s">
        <v>24</v>
      </c>
      <c r="D33" s="8" t="s">
        <v>25</v>
      </c>
      <c r="E33" s="9" t="s">
        <v>26</v>
      </c>
      <c r="F33" s="4" t="s">
        <v>53</v>
      </c>
      <c r="H33" s="7"/>
      <c r="J33" s="4" t="s">
        <v>55</v>
      </c>
      <c r="K33" s="9" t="s">
        <v>28</v>
      </c>
      <c r="L33" s="8" t="s">
        <v>29</v>
      </c>
      <c r="M33" s="4" t="s">
        <v>30</v>
      </c>
      <c r="P33" s="7" t="str">
        <f t="shared" si="1"/>
        <v>#N/A</v>
      </c>
      <c r="S33" s="4" t="str">
        <f t="shared" si="2"/>
        <v>#N/A</v>
      </c>
      <c r="T33" s="4" t="str">
        <f t="shared" si="3"/>
        <v>#N/A</v>
      </c>
    </row>
    <row r="34" ht="14.25" customHeight="1">
      <c r="B34" s="4" t="s">
        <v>56</v>
      </c>
      <c r="C34" s="10" t="s">
        <v>24</v>
      </c>
      <c r="D34" s="8" t="s">
        <v>25</v>
      </c>
      <c r="E34" s="9" t="s">
        <v>26</v>
      </c>
      <c r="F34" s="4" t="s">
        <v>55</v>
      </c>
      <c r="G34" s="4" t="s">
        <v>57</v>
      </c>
      <c r="H34" s="7"/>
      <c r="I34" s="4" t="s">
        <v>57</v>
      </c>
      <c r="J34" s="4" t="s">
        <v>32</v>
      </c>
      <c r="K34" s="9" t="s">
        <v>28</v>
      </c>
      <c r="L34" s="8" t="s">
        <v>29</v>
      </c>
      <c r="M34" s="4" t="s">
        <v>30</v>
      </c>
      <c r="P34" s="7" t="str">
        <f t="shared" si="1"/>
        <v>#N/A</v>
      </c>
      <c r="S34" s="4" t="str">
        <f>CONCAT(C34:G34)</f>
        <v>#N/A</v>
      </c>
      <c r="T34" s="4" t="str">
        <f>CONCAT(I34:M34)</f>
        <v>#N/A</v>
      </c>
    </row>
    <row r="35" ht="14.25" customHeight="1">
      <c r="B35" s="4" t="s">
        <v>58</v>
      </c>
      <c r="C35" s="10" t="s">
        <v>24</v>
      </c>
      <c r="D35" s="8" t="s">
        <v>25</v>
      </c>
      <c r="E35" s="9" t="s">
        <v>26</v>
      </c>
      <c r="F35" s="4" t="s">
        <v>51</v>
      </c>
      <c r="H35" s="12"/>
      <c r="J35" s="4" t="s">
        <v>53</v>
      </c>
      <c r="K35" s="9" t="s">
        <v>28</v>
      </c>
      <c r="L35" s="8" t="s">
        <v>29</v>
      </c>
      <c r="M35" s="4" t="s">
        <v>30</v>
      </c>
      <c r="P35" s="7" t="str">
        <f t="shared" si="1"/>
        <v>#N/A</v>
      </c>
      <c r="S35" s="4" t="str">
        <f t="shared" ref="S35:S36" si="4">CONCAT(C35:F35)</f>
        <v>#N/A</v>
      </c>
      <c r="T35" s="4" t="str">
        <f t="shared" ref="T35:T36" si="5">CONCAT(J35:M35)</f>
        <v>#N/A</v>
      </c>
    </row>
    <row r="36" ht="14.25" customHeight="1">
      <c r="B36" s="4" t="s">
        <v>59</v>
      </c>
      <c r="C36" s="10" t="s">
        <v>24</v>
      </c>
      <c r="D36" s="8" t="s">
        <v>25</v>
      </c>
      <c r="E36" s="9" t="s">
        <v>26</v>
      </c>
      <c r="F36" s="4" t="s">
        <v>53</v>
      </c>
      <c r="H36" s="7"/>
      <c r="J36" s="4" t="s">
        <v>55</v>
      </c>
      <c r="K36" s="9" t="s">
        <v>28</v>
      </c>
      <c r="L36" s="8" t="s">
        <v>29</v>
      </c>
      <c r="M36" s="4" t="s">
        <v>30</v>
      </c>
      <c r="P36" s="7" t="str">
        <f t="shared" si="1"/>
        <v>#N/A</v>
      </c>
      <c r="S36" s="4" t="str">
        <f t="shared" si="4"/>
        <v>#N/A</v>
      </c>
      <c r="T36" s="4" t="str">
        <f t="shared" si="5"/>
        <v>#N/A</v>
      </c>
    </row>
    <row r="37" ht="14.25" customHeight="1">
      <c r="B37" s="4" t="s">
        <v>60</v>
      </c>
      <c r="C37" s="10" t="s">
        <v>24</v>
      </c>
      <c r="D37" s="8" t="s">
        <v>25</v>
      </c>
      <c r="E37" s="9" t="s">
        <v>26</v>
      </c>
      <c r="F37" s="4" t="s">
        <v>55</v>
      </c>
      <c r="G37" s="4" t="s">
        <v>57</v>
      </c>
      <c r="H37" s="7"/>
      <c r="I37" s="4" t="s">
        <v>57</v>
      </c>
      <c r="J37" s="4" t="s">
        <v>61</v>
      </c>
      <c r="K37" s="9" t="s">
        <v>28</v>
      </c>
      <c r="L37" s="8" t="s">
        <v>29</v>
      </c>
      <c r="M37" s="4" t="s">
        <v>30</v>
      </c>
      <c r="P37" s="7" t="str">
        <f t="shared" si="1"/>
        <v>#N/A</v>
      </c>
      <c r="S37" s="4" t="str">
        <f>CONCAT(C37:G37)</f>
        <v>#N/A</v>
      </c>
      <c r="T37" s="4" t="str">
        <f>CONCAT(I37:M37)</f>
        <v>#N/A</v>
      </c>
    </row>
    <row r="38" ht="14.25" customHeight="1">
      <c r="B38" s="4" t="s">
        <v>62</v>
      </c>
      <c r="C38" s="10" t="s">
        <v>24</v>
      </c>
      <c r="D38" s="8" t="s">
        <v>25</v>
      </c>
      <c r="E38" s="9" t="s">
        <v>26</v>
      </c>
      <c r="F38" s="4" t="s">
        <v>61</v>
      </c>
      <c r="H38" s="7"/>
      <c r="J38" s="4" t="s">
        <v>32</v>
      </c>
      <c r="K38" s="9" t="s">
        <v>28</v>
      </c>
      <c r="L38" s="8" t="s">
        <v>29</v>
      </c>
      <c r="M38" s="4" t="s">
        <v>30</v>
      </c>
      <c r="P38" s="7" t="str">
        <f t="shared" si="1"/>
        <v>#N/A</v>
      </c>
      <c r="S38" s="4" t="str">
        <f>CONCAT(C38:F38)</f>
        <v>#N/A</v>
      </c>
      <c r="T38" s="4" t="str">
        <f>CONCAT(J38:M38)</f>
        <v>#N/A</v>
      </c>
    </row>
    <row r="39" ht="14.25" customHeight="1">
      <c r="K39" s="9"/>
      <c r="L39" s="8"/>
    </row>
    <row r="40" ht="14.25" customHeight="1"/>
    <row r="41" ht="14.25" customHeight="1">
      <c r="B41" s="1" t="s">
        <v>63</v>
      </c>
    </row>
    <row r="42" ht="14.25" customHeight="1">
      <c r="B42" s="1" t="s">
        <v>64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13:C14">
      <formula1>$B$23:$B$38</formula1>
    </dataValidation>
  </dataValidations>
  <hyperlinks>
    <hyperlink r:id="rId1" ref="H9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HebraT</dc:creator>
</cp:coreProperties>
</file>